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kant\ibv-adm\Studie\PhD\Disputaser\Kandidater\H24\Rauluseviciute, Ieva\"/>
    </mc:Choice>
  </mc:AlternateContent>
  <bookViews>
    <workbookView xWindow="0" yWindow="0" windowWidth="16380" windowHeight="8190" tabRatio="500"/>
  </bookViews>
  <sheets>
    <sheet name="PhD Rekvisisjon, 45" sheetId="1" r:id="rId1"/>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41" i="1" l="1"/>
  <c r="E34" i="1"/>
  <c r="E29" i="1"/>
  <c r="E25" i="1"/>
  <c r="C24" i="1"/>
  <c r="E16" i="1"/>
  <c r="E15" i="1"/>
  <c r="E19" i="1" s="1"/>
  <c r="E41" i="1" s="1"/>
</calcChain>
</file>

<file path=xl/sharedStrings.xml><?xml version="1.0" encoding="utf-8"?>
<sst xmlns="http://schemas.openxmlformats.org/spreadsheetml/2006/main" count="86" uniqueCount="77">
  <si>
    <r>
      <rPr>
        <u/>
        <sz val="16"/>
        <color rgb="FF70AD47"/>
        <rFont val="Arial Black"/>
        <family val="2"/>
        <charset val="1"/>
      </rPr>
      <t>CANDIDATE</t>
    </r>
    <r>
      <rPr>
        <sz val="16"/>
        <color rgb="FF70AD47"/>
        <rFont val="Arial Black"/>
        <family val="2"/>
        <charset val="1"/>
      </rPr>
      <t xml:space="preserve"> FILLS IN THE GREEN CELLS</t>
    </r>
    <r>
      <rPr>
        <sz val="16"/>
        <color rgb="FF000000"/>
        <rFont val="Arial Black"/>
        <family val="2"/>
        <charset val="1"/>
      </rPr>
      <t xml:space="preserve">    </t>
    </r>
    <r>
      <rPr>
        <u/>
        <sz val="16"/>
        <color rgb="FF5B9BD5"/>
        <rFont val="Arial Black"/>
        <family val="2"/>
        <charset val="1"/>
      </rPr>
      <t>UiO UNIT</t>
    </r>
    <r>
      <rPr>
        <sz val="16"/>
        <color rgb="FF5B9BD5"/>
        <rFont val="Arial Black"/>
        <family val="2"/>
        <charset val="1"/>
      </rPr>
      <t xml:space="preserve"> FILL IN THE BLUE CELLS</t>
    </r>
  </si>
  <si>
    <t>INFORMATION ABOUT THE CANDIDATE, THESIS AND FACULTY</t>
  </si>
  <si>
    <t>CONTACT INFORMATION
CANDIDATE</t>
  </si>
  <si>
    <t>Name:</t>
  </si>
  <si>
    <t>Ieva Rauluseviciute</t>
  </si>
  <si>
    <t>e-mail:</t>
  </si>
  <si>
    <t>ievarau@uio.no</t>
  </si>
  <si>
    <t>Address:</t>
  </si>
  <si>
    <t>Gaustadalléen 21</t>
  </si>
  <si>
    <t>Postal number/City:</t>
  </si>
  <si>
    <t>0349 Oslo</t>
  </si>
  <si>
    <t>Mobile/Cell number:</t>
  </si>
  <si>
    <t>Date of dissertation:</t>
  </si>
  <si>
    <t>The title of the thesis:</t>
  </si>
  <si>
    <t>Computational Approaches to Exploring Transcription Factor-DNA Interactions: From Resource Development to Co-binding Prediction</t>
  </si>
  <si>
    <t>The subtitle of the thesis:</t>
  </si>
  <si>
    <t>Faculty/Institute/Centre:</t>
  </si>
  <si>
    <t>Centre for Molecular Medicine Norway (NCMM)</t>
  </si>
  <si>
    <t>Number of pages in the thesis:</t>
  </si>
  <si>
    <t>pages</t>
  </si>
  <si>
    <t xml:space="preserve">ISBN - Medicine &amp; Dentistry only:  </t>
  </si>
  <si>
    <t>(ISSN number is provided by the University Print centre.)</t>
  </si>
  <si>
    <t>NUMBER OF COPIES, DELIVERY, PRICE, PAYMENT</t>
  </si>
  <si>
    <t>We upload pdf to DUO Research Archive (Y/N):</t>
  </si>
  <si>
    <t>YES</t>
  </si>
  <si>
    <t>(Graphic senter has the mail adress)</t>
  </si>
  <si>
    <t>PDF of thesis for digital dissertation (Y/N):</t>
  </si>
  <si>
    <t>NO</t>
  </si>
  <si>
    <t xml:space="preserve">(YES; e-mail will be send  to the requester at the faculty/institute) </t>
  </si>
  <si>
    <t>NUMBER OF COPIES</t>
  </si>
  <si>
    <t>Price/budget*:</t>
  </si>
  <si>
    <t>INSTITUTE/CENT.:</t>
  </si>
  <si>
    <t>copies</t>
  </si>
  <si>
    <t>Cost centre</t>
  </si>
  <si>
    <t>National Library of Norway</t>
  </si>
  <si>
    <t>(Legal Deposit carried out by the Print Centre)</t>
  </si>
  <si>
    <t>Sub-project</t>
  </si>
  <si>
    <t>University of Oslo Library</t>
  </si>
  <si>
    <t>(Carried out by the Print Centre)</t>
  </si>
  <si>
    <t>Filled in by the Print Centre in case of extra costs:</t>
  </si>
  <si>
    <t>Adittional distribution</t>
  </si>
  <si>
    <t>By agreement. list to grafisksenter@uio.no</t>
  </si>
  <si>
    <t xml:space="preserve">Additional delivery in boxes </t>
  </si>
  <si>
    <t>Additional delivery in envelopes</t>
  </si>
  <si>
    <t xml:space="preserve">Rest sendes fakultetet </t>
  </si>
  <si>
    <t>Other</t>
  </si>
  <si>
    <t>Information about delivery of copies to Institute/centre:</t>
  </si>
  <si>
    <t>(tot.extra)</t>
  </si>
  <si>
    <t>Institute/centre:</t>
  </si>
  <si>
    <t>Box:</t>
  </si>
  <si>
    <t xml:space="preserve">Contact person: </t>
  </si>
  <si>
    <t>FACULTY:</t>
  </si>
  <si>
    <t>Information about delivery of copies to Faculty:</t>
  </si>
  <si>
    <t>Institute/Centre:</t>
  </si>
  <si>
    <t>UiO Box:</t>
  </si>
  <si>
    <t>PRIVATE/EXT.:</t>
  </si>
  <si>
    <t>Paid at pickup with Card or «Vipps». For invoice, see below:</t>
  </si>
  <si>
    <t>INFORMATION ABOUT DELIVERY beyond the University of Oslo:</t>
  </si>
  <si>
    <t>INVOICE INFORMATION - when copies and/or work are sent to candidate or external institution*</t>
  </si>
  <si>
    <t>Name/Institution:</t>
  </si>
  <si>
    <t>Institution (opt):</t>
  </si>
  <si>
    <t>Street address:</t>
  </si>
  <si>
    <t>Org.no.(opt):</t>
  </si>
  <si>
    <t>Postal code/City:</t>
  </si>
  <si>
    <t>Country:</t>
  </si>
  <si>
    <t>Invoice address:</t>
  </si>
  <si>
    <t>TOTAL NUMBER OF COPIES:</t>
  </si>
  <si>
    <t>GRAND TOTAL</t>
  </si>
  <si>
    <t xml:space="preserve">* Work and delivery addresses beyond standard procedure generates additional costs. Also requests for corrections to the manuscript, given to us after the standard work. The candidate must submit an invoice address to cover these costs. See cells above. Our charge pr hour is NOK880 eksl vat. </t>
  </si>
  <si>
    <t>COMMENTS</t>
  </si>
  <si>
    <t>DISTRAINER FACULTY/DEPARTMENT</t>
  </si>
  <si>
    <t xml:space="preserve">Email address distrainer: </t>
  </si>
  <si>
    <t>Information about print files, collaboration, delivery, etc -  Go to our web site:</t>
  </si>
  <si>
    <t>https://www.uio.no/english/services/print/index.html</t>
  </si>
  <si>
    <t>Joakim Erma Møller (j.e.moller@ibv.uio.no)</t>
  </si>
  <si>
    <t>Department of Biosciences</t>
  </si>
  <si>
    <t>Joakim Erma Møller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</si>
</sst>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dd/yy"/>
    <numFmt numFmtId="165" formatCode="_-&quot;kr &quot;* #,##0_-;&quot;-kr &quot;* #,##0_-;_-&quot;kr &quot;* \-_-;_-@_-"/>
  </numFmts>
  <fonts count="31" x14ac:knownFonts="1">
    <font>
      <sz val="12"/>
      <color rgb="FF000000"/>
      <name val="Calibri"/>
      <family val="2"/>
      <charset val="1"/>
    </font>
    <font>
      <sz val="10"/>
      <color rgb="FF000000"/>
      <name val="Calibri"/>
      <family val="2"/>
      <charset val="1"/>
    </font>
    <font>
      <u/>
      <sz val="16"/>
      <color rgb="FF70AD47"/>
      <name val="Arial Black"/>
      <family val="2"/>
      <charset val="1"/>
    </font>
    <font>
      <sz val="16"/>
      <color rgb="FF70AD47"/>
      <name val="Arial Black"/>
      <family val="2"/>
      <charset val="1"/>
    </font>
    <font>
      <sz val="16"/>
      <color rgb="FF000000"/>
      <name val="Arial Black"/>
      <family val="2"/>
      <charset val="1"/>
    </font>
    <font>
      <u/>
      <sz val="16"/>
      <color rgb="FF5B9BD5"/>
      <name val="Arial Black"/>
      <family val="2"/>
      <charset val="1"/>
    </font>
    <font>
      <sz val="16"/>
      <color rgb="FF5B9BD5"/>
      <name val="Arial Black"/>
      <family val="2"/>
      <charset val="1"/>
    </font>
    <font>
      <b/>
      <sz val="14"/>
      <color rgb="FFFFFFFF"/>
      <name val="Times New Roman"/>
      <family val="1"/>
      <charset val="1"/>
    </font>
    <font>
      <sz val="12"/>
      <color rgb="FF000000"/>
      <name val="Times New Roman"/>
      <family val="1"/>
      <charset val="1"/>
    </font>
    <font>
      <sz val="12"/>
      <name val="Times New Roman"/>
      <family val="1"/>
      <charset val="1"/>
    </font>
    <font>
      <b/>
      <sz val="16"/>
      <color rgb="FF000000"/>
      <name val="Times New Roman"/>
      <family val="1"/>
      <charset val="1"/>
    </font>
    <font>
      <sz val="10"/>
      <color rgb="FF000000"/>
      <name val="Times New Roman"/>
      <family val="1"/>
      <charset val="1"/>
    </font>
    <font>
      <sz val="12"/>
      <color rgb="FFA6A6A6"/>
      <name val="Times New Roman"/>
      <family val="1"/>
      <charset val="1"/>
    </font>
    <font>
      <sz val="10"/>
      <name val="Times New Roman"/>
      <family val="1"/>
      <charset val="1"/>
    </font>
    <font>
      <sz val="8"/>
      <color rgb="FF929292"/>
      <name val="Times New Roman"/>
      <family val="1"/>
      <charset val="1"/>
    </font>
    <font>
      <b/>
      <sz val="10"/>
      <color rgb="FFFFFFFF"/>
      <name val="Times New Roman"/>
      <family val="1"/>
      <charset val="1"/>
    </font>
    <font>
      <b/>
      <sz val="14"/>
      <color rgb="FF000000"/>
      <name val="Times New Roman"/>
      <family val="1"/>
      <charset val="1"/>
    </font>
    <font>
      <sz val="6"/>
      <color rgb="FF000000"/>
      <name val="Times New Roman"/>
      <family val="1"/>
      <charset val="1"/>
    </font>
    <font>
      <sz val="8"/>
      <color rgb="FF000000"/>
      <name val="Times New Roman"/>
      <family val="1"/>
      <charset val="1"/>
    </font>
    <font>
      <b/>
      <sz val="12"/>
      <color rgb="FF000000"/>
      <name val="Times New Roman"/>
      <family val="1"/>
      <charset val="1"/>
    </font>
    <font>
      <sz val="9"/>
      <color rgb="FF000000"/>
      <name val="Times New Roman"/>
      <family val="1"/>
      <charset val="1"/>
    </font>
    <font>
      <sz val="10"/>
      <color rgb="FF929292"/>
      <name val="Times New Roman"/>
      <family val="1"/>
      <charset val="1"/>
    </font>
    <font>
      <sz val="8"/>
      <name val="Times New Roman"/>
      <family val="1"/>
      <charset val="1"/>
    </font>
    <font>
      <sz val="10"/>
      <color rgb="FF808080"/>
      <name val="Times New Roman"/>
      <family val="1"/>
      <charset val="1"/>
    </font>
    <font>
      <sz val="8"/>
      <color rgb="FFFFC000"/>
      <name val="Times New Roman"/>
      <family val="1"/>
      <charset val="1"/>
    </font>
    <font>
      <sz val="8"/>
      <color rgb="FFBFBFBF"/>
      <name val="Times New Roman"/>
      <family val="1"/>
      <charset val="1"/>
    </font>
    <font>
      <i/>
      <sz val="10"/>
      <color rgb="FF808080"/>
      <name val="Times New Roman"/>
      <family val="1"/>
      <charset val="1"/>
    </font>
    <font>
      <i/>
      <sz val="10"/>
      <color rgb="FF000000"/>
      <name val="Times New Roman"/>
      <family val="1"/>
      <charset val="1"/>
    </font>
    <font>
      <i/>
      <sz val="9"/>
      <color rgb="FF000000"/>
      <name val="Times New Roman"/>
      <family val="1"/>
      <charset val="1"/>
    </font>
    <font>
      <b/>
      <sz val="16"/>
      <color rgb="FFFFFFFF"/>
      <name val="Times New Roman"/>
      <family val="1"/>
      <charset val="1"/>
    </font>
    <font>
      <u/>
      <sz val="12"/>
      <color rgb="FF0563C1"/>
      <name val="Calibri"/>
      <family val="2"/>
      <charset val="1"/>
    </font>
  </fonts>
  <fills count="13">
    <fill>
      <patternFill patternType="none"/>
    </fill>
    <fill>
      <patternFill patternType="gray125"/>
    </fill>
    <fill>
      <patternFill patternType="solid">
        <fgColor rgb="FF929292"/>
        <bgColor rgb="FF808080"/>
      </patternFill>
    </fill>
    <fill>
      <patternFill patternType="solid">
        <fgColor rgb="FFE2F0D9"/>
        <bgColor rgb="FFE7E7E7"/>
      </patternFill>
    </fill>
    <fill>
      <patternFill patternType="solid">
        <fgColor rgb="FFF6FFF5"/>
        <bgColor rgb="FFF7F8F5"/>
      </patternFill>
    </fill>
    <fill>
      <patternFill patternType="solid">
        <fgColor rgb="FFACDCEC"/>
        <bgColor rgb="FFD6D6D6"/>
      </patternFill>
    </fill>
    <fill>
      <patternFill patternType="solid">
        <fgColor rgb="FFE2F3F8"/>
        <bgColor rgb="FFF2F2F2"/>
      </patternFill>
    </fill>
    <fill>
      <patternFill patternType="solid">
        <fgColor rgb="FFF2F2F2"/>
        <bgColor rgb="FFF7F8F5"/>
      </patternFill>
    </fill>
    <fill>
      <patternFill patternType="solid">
        <fgColor rgb="FFE1E1E1"/>
        <bgColor rgb="FFE7E7E7"/>
      </patternFill>
    </fill>
    <fill>
      <patternFill patternType="solid">
        <fgColor rgb="FFE7E7E7"/>
        <bgColor rgb="FFE1E1E1"/>
      </patternFill>
    </fill>
    <fill>
      <patternFill patternType="solid">
        <fgColor rgb="FFD6D6D6"/>
        <bgColor rgb="FFE1E1E1"/>
      </patternFill>
    </fill>
    <fill>
      <patternFill patternType="solid">
        <fgColor rgb="FFA9D18E"/>
        <bgColor rgb="FFBFBFBF"/>
      </patternFill>
    </fill>
    <fill>
      <patternFill patternType="solid">
        <fgColor rgb="FFF7F8F5"/>
        <bgColor rgb="FFF6FFF5"/>
      </patternFill>
    </fill>
  </fills>
  <borders count="27">
    <border>
      <left/>
      <right/>
      <top/>
      <bottom/>
      <diagonal/>
    </border>
    <border>
      <left/>
      <right/>
      <top/>
      <bottom style="thin">
        <color rgb="FFB3B3B3"/>
      </bottom>
      <diagonal/>
    </border>
    <border>
      <left style="thin">
        <color rgb="FFB3B3B3"/>
      </left>
      <right style="thin">
        <color rgb="FFB3B3B3"/>
      </right>
      <top style="thin">
        <color rgb="FFB3B3B3"/>
      </top>
      <bottom style="thin">
        <color rgb="FFB3B3B3"/>
      </bottom>
      <diagonal/>
    </border>
    <border>
      <left style="thin">
        <color rgb="FFB3B3B3"/>
      </left>
      <right/>
      <top style="thin">
        <color rgb="FFB3B3B3"/>
      </top>
      <bottom style="thin">
        <color rgb="FFB3B3B3"/>
      </bottom>
      <diagonal/>
    </border>
    <border>
      <left/>
      <right/>
      <top style="thin">
        <color rgb="FFB3B3B3"/>
      </top>
      <bottom style="thin">
        <color rgb="FFB3B3B3"/>
      </bottom>
      <diagonal/>
    </border>
    <border>
      <left/>
      <right style="thin">
        <color rgb="FFB3B3B3"/>
      </right>
      <top style="thin">
        <color rgb="FFB3B3B3"/>
      </top>
      <bottom style="thin">
        <color rgb="FFB3B3B3"/>
      </bottom>
      <diagonal/>
    </border>
    <border>
      <left style="thin">
        <color rgb="FFB3B3B3"/>
      </left>
      <right style="thin">
        <color rgb="FFB3B3B3"/>
      </right>
      <top style="thin">
        <color rgb="FFB3B3B3"/>
      </top>
      <bottom/>
      <diagonal/>
    </border>
    <border>
      <left style="thin">
        <color rgb="FFB3B3B3"/>
      </left>
      <right style="thin">
        <color rgb="FFB3B3B3"/>
      </right>
      <top/>
      <bottom style="thin">
        <color rgb="FFB3B3B3"/>
      </bottom>
      <diagonal/>
    </border>
    <border>
      <left style="thin">
        <color rgb="FFB3B3B3"/>
      </left>
      <right/>
      <top/>
      <bottom/>
      <diagonal/>
    </border>
    <border>
      <left/>
      <right style="thin">
        <color rgb="FFB3B3B3"/>
      </right>
      <top style="thin">
        <color rgb="FFB3B3B3"/>
      </top>
      <bottom/>
      <diagonal/>
    </border>
    <border>
      <left style="thin">
        <color rgb="FFB3B3B3"/>
      </left>
      <right style="thin">
        <color rgb="FFB3B3B3"/>
      </right>
      <top/>
      <bottom/>
      <diagonal/>
    </border>
    <border>
      <left style="thin">
        <color rgb="FFB3B3B3"/>
      </left>
      <right/>
      <top style="thin">
        <color rgb="FFB3B3B3"/>
      </top>
      <bottom style="medium">
        <color rgb="FFB3B3B3"/>
      </bottom>
      <diagonal/>
    </border>
    <border>
      <left/>
      <right/>
      <top style="thin">
        <color rgb="FFB3B3B3"/>
      </top>
      <bottom/>
      <diagonal/>
    </border>
    <border>
      <left/>
      <right/>
      <top/>
      <bottom style="medium">
        <color rgb="FFB3B3B3"/>
      </bottom>
      <diagonal/>
    </border>
    <border>
      <left/>
      <right style="thin">
        <color rgb="FFB3B3B3"/>
      </right>
      <top/>
      <bottom style="medium">
        <color rgb="FFB3B3B3"/>
      </bottom>
      <diagonal/>
    </border>
    <border>
      <left style="thin">
        <color rgb="FFB3B3B3"/>
      </left>
      <right/>
      <top/>
      <bottom style="thin">
        <color rgb="FFB3B3B3"/>
      </bottom>
      <diagonal/>
    </border>
    <border>
      <left style="thin">
        <color rgb="FFB3B3B3"/>
      </left>
      <right/>
      <top style="medium">
        <color rgb="FFB3B3B3"/>
      </top>
      <bottom style="thin">
        <color rgb="FFB3B3B3"/>
      </bottom>
      <diagonal/>
    </border>
    <border>
      <left/>
      <right style="thin">
        <color rgb="FFB3B3B3"/>
      </right>
      <top/>
      <bottom style="thin">
        <color rgb="FFB3B3B3"/>
      </bottom>
      <diagonal/>
    </border>
    <border>
      <left style="thin">
        <color rgb="FFB3B3B3"/>
      </left>
      <right style="thin">
        <color rgb="FFB3B3B3"/>
      </right>
      <top style="medium">
        <color rgb="FFB3B3B3"/>
      </top>
      <bottom style="thin">
        <color rgb="FFB3B3B3"/>
      </bottom>
      <diagonal/>
    </border>
    <border>
      <left/>
      <right style="thin">
        <color rgb="FFB3B3B3"/>
      </right>
      <top/>
      <bottom/>
      <diagonal/>
    </border>
    <border>
      <left style="thin">
        <color rgb="FFB3B3B3"/>
      </left>
      <right style="thin">
        <color rgb="FFA6A6A6"/>
      </right>
      <top/>
      <bottom/>
      <diagonal/>
    </border>
    <border>
      <left style="thin">
        <color rgb="FFB3B3B3"/>
      </left>
      <right style="thin">
        <color rgb="FFB3B3B3"/>
      </right>
      <top style="thin">
        <color rgb="FFB3B3B3"/>
      </top>
      <bottom style="medium">
        <color rgb="FFB3B3B3"/>
      </bottom>
      <diagonal/>
    </border>
    <border>
      <left style="thin">
        <color rgb="FFB3B3B3"/>
      </left>
      <right style="thin">
        <color rgb="FFB3B3B3"/>
      </right>
      <top/>
      <bottom style="medium">
        <color rgb="FFB3B3B3"/>
      </bottom>
      <diagonal/>
    </border>
    <border>
      <left style="thin">
        <color rgb="FFB3B3B3"/>
      </left>
      <right/>
      <top/>
      <bottom style="medium">
        <color rgb="FFB3B3B3"/>
      </bottom>
      <diagonal/>
    </border>
    <border>
      <left style="medium">
        <color rgb="FFB3B3B3"/>
      </left>
      <right/>
      <top/>
      <bottom/>
      <diagonal/>
    </border>
    <border>
      <left/>
      <right style="medium">
        <color rgb="FFB3B3B3"/>
      </right>
      <top/>
      <bottom/>
      <diagonal/>
    </border>
    <border>
      <left style="medium">
        <color rgb="FFB3B3B3"/>
      </left>
      <right/>
      <top style="thin">
        <color rgb="FFB3B3B3"/>
      </top>
      <bottom style="thin">
        <color rgb="FFB3B3B3"/>
      </bottom>
      <diagonal/>
    </border>
  </borders>
  <cellStyleXfs count="2">
    <xf numFmtId="0" fontId="0" fillId="0" borderId="0"/>
    <xf numFmtId="0" fontId="30" fillId="0" borderId="0" applyBorder="0" applyProtection="0"/>
  </cellStyleXfs>
  <cellXfs count="119">
    <xf numFmtId="0" fontId="0" fillId="0" borderId="0" xfId="0"/>
    <xf numFmtId="0" fontId="8" fillId="5" borderId="2" xfId="0" applyFont="1" applyFill="1" applyBorder="1" applyAlignment="1" applyProtection="1">
      <alignment horizontal="left" vertical="center" indent="1"/>
    </xf>
    <xf numFmtId="0" fontId="8" fillId="5" borderId="2" xfId="0" applyFont="1" applyFill="1" applyBorder="1" applyAlignment="1" applyProtection="1">
      <alignment horizontal="left" vertical="center" wrapText="1" shrinkToFit="1"/>
    </xf>
    <xf numFmtId="0" fontId="12" fillId="3" borderId="2" xfId="0" applyFont="1" applyFill="1" applyBorder="1" applyAlignment="1" applyProtection="1">
      <alignment horizontal="left" vertical="center" indent="1"/>
    </xf>
    <xf numFmtId="0" fontId="9" fillId="3" borderId="6" xfId="0" applyFont="1" applyFill="1" applyBorder="1" applyAlignment="1" applyProtection="1">
      <alignment horizontal="left" vertical="center"/>
    </xf>
    <xf numFmtId="0" fontId="11" fillId="4" borderId="2" xfId="0" applyFont="1" applyFill="1" applyBorder="1" applyAlignment="1" applyProtection="1">
      <alignment horizontal="left" indent="1"/>
      <protection locked="0"/>
    </xf>
    <xf numFmtId="0" fontId="9" fillId="3" borderId="3" xfId="0" applyFont="1" applyFill="1" applyBorder="1" applyAlignment="1" applyProtection="1">
      <alignment horizontal="left" vertical="center"/>
    </xf>
    <xf numFmtId="0" fontId="8" fillId="4" borderId="5" xfId="0" applyFont="1" applyFill="1" applyBorder="1" applyAlignment="1" applyProtection="1">
      <alignment horizontal="left" vertical="center" wrapText="1" indent="1"/>
      <protection locked="0"/>
    </xf>
    <xf numFmtId="0" fontId="8" fillId="3" borderId="2" xfId="0" applyFont="1" applyFill="1" applyBorder="1" applyAlignment="1" applyProtection="1">
      <alignment horizontal="left" vertical="center" wrapText="1"/>
    </xf>
    <xf numFmtId="164" fontId="10" fillId="4" borderId="2" xfId="0" applyNumberFormat="1" applyFont="1" applyFill="1" applyBorder="1" applyAlignment="1" applyProtection="1">
      <alignment horizontal="left" vertical="center"/>
      <protection locked="0"/>
    </xf>
    <xf numFmtId="0" fontId="8" fillId="3" borderId="3" xfId="0" applyFont="1" applyFill="1" applyBorder="1" applyAlignment="1" applyProtection="1">
      <alignment horizontal="left" vertical="center"/>
    </xf>
    <xf numFmtId="0" fontId="8" fillId="4" borderId="2" xfId="0" applyFont="1" applyFill="1" applyBorder="1" applyAlignment="1" applyProtection="1">
      <alignment horizontal="left" vertical="center" indent="1"/>
      <protection locked="0"/>
    </xf>
    <xf numFmtId="0" fontId="8" fillId="3" borderId="2" xfId="0" applyFont="1" applyFill="1" applyBorder="1" applyAlignment="1" applyProtection="1">
      <alignment horizontal="center" vertical="center" wrapText="1"/>
    </xf>
    <xf numFmtId="0" fontId="7" fillId="2" borderId="2" xfId="0" applyFont="1" applyFill="1" applyBorder="1" applyAlignment="1" applyProtection="1">
      <alignment horizontal="center" vertical="center"/>
    </xf>
    <xf numFmtId="0" fontId="2" fillId="0" borderId="1" xfId="0" applyFont="1" applyBorder="1" applyAlignment="1" applyProtection="1">
      <alignment horizontal="center"/>
    </xf>
    <xf numFmtId="0" fontId="1" fillId="0" borderId="0" xfId="0" applyFont="1" applyAlignment="1" applyProtection="1"/>
    <xf numFmtId="0" fontId="8" fillId="3" borderId="2" xfId="0" applyFont="1" applyFill="1" applyBorder="1" applyAlignment="1" applyProtection="1"/>
    <xf numFmtId="0" fontId="9" fillId="4" borderId="3" xfId="0" applyFont="1" applyFill="1" applyBorder="1" applyAlignment="1" applyProtection="1">
      <alignment horizontal="left" vertical="center" indent="1"/>
      <protection locked="0"/>
    </xf>
    <xf numFmtId="0" fontId="9" fillId="4" borderId="4" xfId="0" applyFont="1" applyFill="1" applyBorder="1" applyAlignment="1" applyProtection="1">
      <alignment horizontal="left" vertical="center" indent="1"/>
      <protection locked="0"/>
    </xf>
    <xf numFmtId="0" fontId="9" fillId="4" borderId="5" xfId="0" applyFont="1" applyFill="1" applyBorder="1" applyAlignment="1" applyProtection="1">
      <alignment horizontal="left" vertical="center" indent="1"/>
      <protection locked="0"/>
    </xf>
    <xf numFmtId="0" fontId="8" fillId="4" borderId="2" xfId="0" applyFont="1" applyFill="1" applyBorder="1" applyAlignment="1" applyProtection="1">
      <alignment vertical="center"/>
      <protection locked="0"/>
    </xf>
    <xf numFmtId="0" fontId="8" fillId="6" borderId="2" xfId="0" applyFont="1" applyFill="1" applyBorder="1" applyAlignment="1" applyProtection="1">
      <protection locked="0"/>
    </xf>
    <xf numFmtId="0" fontId="11" fillId="4" borderId="1" xfId="0" applyFont="1" applyFill="1" applyBorder="1" applyAlignment="1" applyProtection="1">
      <alignment horizontal="center"/>
      <protection locked="0"/>
    </xf>
    <xf numFmtId="165" fontId="14" fillId="7" borderId="7" xfId="0" applyNumberFormat="1" applyFont="1" applyFill="1" applyBorder="1" applyAlignment="1" applyProtection="1">
      <alignment horizontal="right" vertical="center"/>
    </xf>
    <xf numFmtId="0" fontId="13" fillId="5" borderId="8" xfId="0" applyFont="1" applyFill="1" applyBorder="1" applyAlignment="1" applyProtection="1">
      <alignment horizontal="left"/>
    </xf>
    <xf numFmtId="0" fontId="15" fillId="5" borderId="0" xfId="0" applyFont="1" applyFill="1" applyAlignment="1" applyProtection="1">
      <alignment horizontal="center" vertical="center"/>
    </xf>
    <xf numFmtId="0" fontId="15" fillId="5" borderId="9" xfId="0" applyFont="1" applyFill="1" applyBorder="1" applyAlignment="1" applyProtection="1">
      <alignment horizontal="center" vertical="center"/>
    </xf>
    <xf numFmtId="0" fontId="11" fillId="6" borderId="9" xfId="0" applyFont="1" applyFill="1" applyBorder="1" applyAlignment="1" applyProtection="1">
      <alignment horizontal="center"/>
      <protection locked="0"/>
    </xf>
    <xf numFmtId="165" fontId="14" fillId="7" borderId="10" xfId="0" applyNumberFormat="1" applyFont="1" applyFill="1" applyBorder="1" applyAlignment="1" applyProtection="1">
      <alignment horizontal="right" vertical="center"/>
    </xf>
    <xf numFmtId="0" fontId="17" fillId="7" borderId="12" xfId="0" applyFont="1" applyFill="1" applyBorder="1" applyAlignment="1" applyProtection="1">
      <alignment vertical="center" wrapText="1" shrinkToFit="1"/>
    </xf>
    <xf numFmtId="0" fontId="11" fillId="7" borderId="12" xfId="0" applyFont="1" applyFill="1" applyBorder="1" applyAlignment="1" applyProtection="1"/>
    <xf numFmtId="0" fontId="11" fillId="7" borderId="9" xfId="0" applyFont="1" applyFill="1" applyBorder="1" applyAlignment="1" applyProtection="1"/>
    <xf numFmtId="0" fontId="18" fillId="7" borderId="13" xfId="0" applyFont="1" applyFill="1" applyBorder="1" applyAlignment="1" applyProtection="1">
      <alignment wrapText="1" shrinkToFit="1"/>
    </xf>
    <xf numFmtId="0" fontId="11" fillId="7" borderId="13" xfId="0" applyFont="1" applyFill="1" applyBorder="1" applyAlignment="1" applyProtection="1"/>
    <xf numFmtId="0" fontId="11" fillId="7" borderId="14" xfId="0" applyFont="1" applyFill="1" applyBorder="1" applyAlignment="1" applyProtection="1"/>
    <xf numFmtId="0" fontId="19" fillId="5" borderId="15" xfId="0" applyFont="1" applyFill="1" applyBorder="1" applyAlignment="1" applyProtection="1"/>
    <xf numFmtId="0" fontId="8" fillId="6" borderId="16" xfId="0" applyFont="1" applyFill="1" applyBorder="1" applyAlignment="1" applyProtection="1">
      <protection locked="0"/>
    </xf>
    <xf numFmtId="0" fontId="14" fillId="6" borderId="17" xfId="0" applyFont="1" applyFill="1" applyBorder="1" applyAlignment="1" applyProtection="1"/>
    <xf numFmtId="0" fontId="11" fillId="7" borderId="10" xfId="0" applyFont="1" applyFill="1" applyBorder="1" applyAlignment="1" applyProtection="1"/>
    <xf numFmtId="165" fontId="11" fillId="0" borderId="18" xfId="0" applyNumberFormat="1" applyFont="1" applyBorder="1" applyAlignment="1" applyProtection="1"/>
    <xf numFmtId="0" fontId="20" fillId="5" borderId="7" xfId="0" applyFont="1" applyFill="1" applyBorder="1" applyAlignment="1" applyProtection="1">
      <alignment horizontal="left"/>
    </xf>
    <xf numFmtId="0" fontId="11" fillId="6" borderId="7" xfId="0" applyFont="1" applyFill="1" applyBorder="1" applyAlignment="1" applyProtection="1">
      <protection locked="0"/>
    </xf>
    <xf numFmtId="0" fontId="14" fillId="8" borderId="10" xfId="0" applyFont="1" applyFill="1" applyBorder="1" applyAlignment="1" applyProtection="1"/>
    <xf numFmtId="0" fontId="21" fillId="9" borderId="8" xfId="0" applyFont="1" applyFill="1" applyBorder="1" applyAlignment="1" applyProtection="1">
      <alignment wrapText="1"/>
    </xf>
    <xf numFmtId="0" fontId="22" fillId="9" borderId="9" xfId="0" applyFont="1" applyFill="1" applyBorder="1" applyAlignment="1" applyProtection="1"/>
    <xf numFmtId="0" fontId="14" fillId="7" borderId="0" xfId="0" applyFont="1" applyFill="1" applyAlignment="1" applyProtection="1"/>
    <xf numFmtId="0" fontId="11" fillId="9" borderId="8" xfId="0" applyFont="1" applyFill="1" applyBorder="1" applyAlignment="1" applyProtection="1"/>
    <xf numFmtId="0" fontId="21" fillId="9" borderId="8" xfId="0" applyFont="1" applyFill="1" applyBorder="1" applyAlignment="1" applyProtection="1"/>
    <xf numFmtId="0" fontId="22" fillId="9" borderId="19" xfId="0" applyFont="1" applyFill="1" applyBorder="1" applyAlignment="1" applyProtection="1"/>
    <xf numFmtId="0" fontId="14" fillId="7" borderId="20" xfId="0" applyFont="1" applyFill="1" applyBorder="1" applyAlignment="1" applyProtection="1"/>
    <xf numFmtId="0" fontId="1" fillId="0" borderId="0" xfId="0" applyFont="1" applyAlignment="1" applyProtection="1">
      <protection locked="0"/>
    </xf>
    <xf numFmtId="0" fontId="11" fillId="9" borderId="19" xfId="0" applyFont="1" applyFill="1" applyBorder="1" applyAlignment="1" applyProtection="1"/>
    <xf numFmtId="165" fontId="11" fillId="0" borderId="18" xfId="0" applyNumberFormat="1" applyFont="1" applyBorder="1" applyAlignment="1" applyProtection="1">
      <protection locked="0"/>
    </xf>
    <xf numFmtId="0" fontId="24" fillId="7" borderId="0" xfId="0" applyFont="1" applyFill="1" applyAlignment="1" applyProtection="1"/>
    <xf numFmtId="0" fontId="14" fillId="8" borderId="7" xfId="0" applyFont="1" applyFill="1" applyBorder="1" applyAlignment="1" applyProtection="1"/>
    <xf numFmtId="0" fontId="21" fillId="9" borderId="15" xfId="0" applyFont="1" applyFill="1" applyBorder="1" applyAlignment="1" applyProtection="1"/>
    <xf numFmtId="0" fontId="22" fillId="9" borderId="17" xfId="0" applyFont="1" applyFill="1" applyBorder="1" applyAlignment="1" applyProtection="1"/>
    <xf numFmtId="0" fontId="14" fillId="7" borderId="1" xfId="0" applyFont="1" applyFill="1" applyBorder="1" applyAlignment="1" applyProtection="1"/>
    <xf numFmtId="0" fontId="9" fillId="5" borderId="15" xfId="0" applyFont="1" applyFill="1" applyBorder="1" applyAlignment="1" applyProtection="1"/>
    <xf numFmtId="0" fontId="11" fillId="5" borderId="0" xfId="0" applyFont="1" applyFill="1" applyAlignment="1" applyProtection="1"/>
    <xf numFmtId="0" fontId="25" fillId="5" borderId="0" xfId="0" applyFont="1" applyFill="1" applyAlignment="1" applyProtection="1"/>
    <xf numFmtId="0" fontId="18" fillId="5" borderId="0" xfId="0" applyFont="1" applyFill="1" applyAlignment="1" applyProtection="1"/>
    <xf numFmtId="165" fontId="26" fillId="9" borderId="8" xfId="0" applyNumberFormat="1" applyFont="1" applyFill="1" applyBorder="1" applyAlignment="1" applyProtection="1"/>
    <xf numFmtId="0" fontId="26" fillId="9" borderId="0" xfId="0" applyFont="1" applyFill="1" applyAlignment="1" applyProtection="1"/>
    <xf numFmtId="0" fontId="11" fillId="5" borderId="6" xfId="0" applyFont="1" applyFill="1" applyBorder="1" applyAlignment="1" applyProtection="1"/>
    <xf numFmtId="0" fontId="11" fillId="9" borderId="0" xfId="0" applyFont="1" applyFill="1" applyAlignment="1" applyProtection="1"/>
    <xf numFmtId="0" fontId="11" fillId="5" borderId="10" xfId="0" applyFont="1" applyFill="1" applyBorder="1" applyAlignment="1" applyProtection="1"/>
    <xf numFmtId="0" fontId="11" fillId="5" borderId="22" xfId="0" applyFont="1" applyFill="1" applyBorder="1" applyAlignment="1" applyProtection="1"/>
    <xf numFmtId="0" fontId="11" fillId="9" borderId="23" xfId="0" applyFont="1" applyFill="1" applyBorder="1" applyAlignment="1" applyProtection="1"/>
    <xf numFmtId="0" fontId="11" fillId="9" borderId="13" xfId="0" applyFont="1" applyFill="1" applyBorder="1" applyAlignment="1" applyProtection="1"/>
    <xf numFmtId="0" fontId="11" fillId="9" borderId="14" xfId="0" applyFont="1" applyFill="1" applyBorder="1" applyAlignment="1" applyProtection="1"/>
    <xf numFmtId="0" fontId="8" fillId="6" borderId="0" xfId="0" applyFont="1" applyFill="1" applyAlignment="1" applyProtection="1">
      <protection locked="0"/>
    </xf>
    <xf numFmtId="0" fontId="14" fillId="6" borderId="0" xfId="0" applyFont="1" applyFill="1" applyAlignment="1" applyProtection="1"/>
    <xf numFmtId="0" fontId="11" fillId="6" borderId="0" xfId="0" applyFont="1" applyFill="1" applyAlignment="1" applyProtection="1"/>
    <xf numFmtId="165" fontId="11" fillId="0" borderId="7" xfId="0" applyNumberFormat="1" applyFont="1" applyBorder="1" applyAlignment="1" applyProtection="1"/>
    <xf numFmtId="0" fontId="9" fillId="5" borderId="24" xfId="0" applyFont="1" applyFill="1" applyBorder="1" applyAlignment="1" applyProtection="1"/>
    <xf numFmtId="0" fontId="14" fillId="9" borderId="0" xfId="0" applyFont="1" applyFill="1" applyAlignment="1" applyProtection="1"/>
    <xf numFmtId="0" fontId="19" fillId="11" borderId="7" xfId="0" applyFont="1" applyFill="1" applyBorder="1" applyAlignment="1" applyProtection="1"/>
    <xf numFmtId="0" fontId="8" fillId="4" borderId="0" xfId="0" applyFont="1" applyFill="1" applyAlignment="1" applyProtection="1">
      <protection locked="0"/>
    </xf>
    <xf numFmtId="0" fontId="14" fillId="4" borderId="0" xfId="0" applyFont="1" applyFill="1" applyAlignment="1" applyProtection="1"/>
    <xf numFmtId="0" fontId="18" fillId="4" borderId="0" xfId="0" applyFont="1" applyFill="1" applyAlignment="1" applyProtection="1"/>
    <xf numFmtId="165" fontId="11" fillId="0" borderId="3" xfId="0" applyNumberFormat="1" applyFont="1" applyBorder="1" applyAlignment="1" applyProtection="1"/>
    <xf numFmtId="0" fontId="8" fillId="3" borderId="4" xfId="0" applyFont="1" applyFill="1" applyBorder="1" applyAlignment="1" applyProtection="1"/>
    <xf numFmtId="0" fontId="8" fillId="3" borderId="5" xfId="0" applyFont="1" applyFill="1" applyBorder="1" applyAlignment="1" applyProtection="1"/>
    <xf numFmtId="0" fontId="22" fillId="3" borderId="24" xfId="0" applyFont="1" applyFill="1" applyBorder="1" applyAlignment="1" applyProtection="1">
      <alignment vertical="center"/>
    </xf>
    <xf numFmtId="0" fontId="11" fillId="3" borderId="0" xfId="0" applyFont="1" applyFill="1" applyAlignment="1" applyProtection="1">
      <alignment vertical="center"/>
    </xf>
    <xf numFmtId="0" fontId="25" fillId="3" borderId="0" xfId="0" applyFont="1" applyFill="1" applyAlignment="1" applyProtection="1">
      <alignment vertical="center"/>
    </xf>
    <xf numFmtId="0" fontId="18" fillId="3" borderId="25" xfId="0" applyFont="1" applyFill="1" applyBorder="1" applyAlignment="1" applyProtection="1">
      <alignment vertical="center"/>
    </xf>
    <xf numFmtId="0" fontId="18" fillId="3" borderId="24" xfId="0" applyFont="1" applyFill="1" applyBorder="1" applyAlignment="1" applyProtection="1"/>
    <xf numFmtId="0" fontId="11" fillId="3" borderId="0" xfId="0" applyFont="1" applyFill="1" applyAlignment="1" applyProtection="1"/>
    <xf numFmtId="0" fontId="11" fillId="3" borderId="19" xfId="0" applyFont="1" applyFill="1" applyBorder="1" applyAlignment="1" applyProtection="1"/>
    <xf numFmtId="0" fontId="11" fillId="3" borderId="6" xfId="0" applyFont="1" applyFill="1" applyBorder="1" applyAlignment="1" applyProtection="1"/>
    <xf numFmtId="0" fontId="27" fillId="3" borderId="6" xfId="0" applyFont="1" applyFill="1" applyBorder="1" applyAlignment="1" applyProtection="1"/>
    <xf numFmtId="0" fontId="11" fillId="3" borderId="10" xfId="0" applyFont="1" applyFill="1" applyBorder="1" applyAlignment="1" applyProtection="1"/>
    <xf numFmtId="0" fontId="28" fillId="3" borderId="10" xfId="0" applyFont="1" applyFill="1" applyBorder="1" applyAlignment="1" applyProtection="1"/>
    <xf numFmtId="0" fontId="11" fillId="3" borderId="7" xfId="0" applyFont="1" applyFill="1" applyBorder="1" applyAlignment="1" applyProtection="1"/>
    <xf numFmtId="0" fontId="18" fillId="10" borderId="26" xfId="0" applyFont="1" applyFill="1" applyBorder="1" applyAlignment="1" applyProtection="1"/>
    <xf numFmtId="0" fontId="8" fillId="10" borderId="4" xfId="0" applyFont="1" applyFill="1" applyBorder="1" applyAlignment="1" applyProtection="1"/>
    <xf numFmtId="0" fontId="18" fillId="10" borderId="4" xfId="0" applyFont="1" applyFill="1" applyBorder="1" applyAlignment="1" applyProtection="1"/>
    <xf numFmtId="165" fontId="8" fillId="10" borderId="3" xfId="0" applyNumberFormat="1" applyFont="1" applyFill="1" applyBorder="1" applyAlignment="1" applyProtection="1"/>
    <xf numFmtId="0" fontId="18" fillId="10" borderId="5" xfId="0" applyFont="1" applyFill="1" applyBorder="1" applyAlignment="1" applyProtection="1"/>
    <xf numFmtId="0" fontId="13" fillId="3" borderId="2" xfId="0" applyFont="1" applyFill="1" applyBorder="1" applyAlignment="1" applyProtection="1">
      <alignment horizontal="left"/>
    </xf>
    <xf numFmtId="0" fontId="14" fillId="7" borderId="7" xfId="0" applyFont="1" applyFill="1" applyBorder="1" applyAlignment="1" applyProtection="1">
      <alignment horizontal="left" vertical="center"/>
    </xf>
    <xf numFmtId="0" fontId="14" fillId="7" borderId="10" xfId="0" applyFont="1" applyFill="1" applyBorder="1" applyAlignment="1" applyProtection="1">
      <alignment horizontal="left" vertical="center"/>
    </xf>
    <xf numFmtId="0" fontId="16" fillId="7" borderId="11" xfId="0" applyFont="1" applyFill="1" applyBorder="1" applyAlignment="1" applyProtection="1">
      <alignment vertical="center"/>
    </xf>
    <xf numFmtId="0" fontId="23" fillId="10" borderId="7" xfId="0" applyFont="1" applyFill="1" applyBorder="1" applyAlignment="1" applyProtection="1">
      <alignment horizontal="left"/>
      <protection locked="0"/>
    </xf>
    <xf numFmtId="0" fontId="23" fillId="10" borderId="2" xfId="0" applyFont="1" applyFill="1" applyBorder="1" applyAlignment="1" applyProtection="1">
      <alignment horizontal="left"/>
      <protection locked="0"/>
    </xf>
    <xf numFmtId="0" fontId="11" fillId="6" borderId="3" xfId="0" applyFont="1" applyFill="1" applyBorder="1" applyAlignment="1" applyProtection="1">
      <alignment horizontal="left" vertical="center"/>
      <protection locked="0"/>
    </xf>
    <xf numFmtId="0" fontId="11" fillId="6" borderId="21" xfId="0" applyFont="1" applyFill="1" applyBorder="1" applyAlignment="1" applyProtection="1">
      <alignment horizontal="left" vertical="center"/>
      <protection locked="0"/>
    </xf>
    <xf numFmtId="0" fontId="11" fillId="6" borderId="2" xfId="0" applyFont="1" applyFill="1" applyBorder="1" applyAlignment="1" applyProtection="1">
      <alignment horizontal="left" vertical="center"/>
      <protection locked="0"/>
    </xf>
    <xf numFmtId="0" fontId="11" fillId="12" borderId="3" xfId="0" applyFont="1" applyFill="1" applyBorder="1" applyAlignment="1" applyProtection="1">
      <alignment horizontal="left" vertical="center"/>
      <protection locked="0"/>
    </xf>
    <xf numFmtId="0" fontId="11" fillId="12" borderId="5" xfId="0" applyFont="1" applyFill="1" applyBorder="1" applyAlignment="1" applyProtection="1">
      <alignment horizontal="left" vertical="center"/>
      <protection locked="0"/>
    </xf>
    <xf numFmtId="0" fontId="11" fillId="12" borderId="9" xfId="0" applyFont="1" applyFill="1" applyBorder="1" applyAlignment="1" applyProtection="1">
      <alignment horizontal="left" vertical="center"/>
      <protection locked="0"/>
    </xf>
    <xf numFmtId="0" fontId="18" fillId="0" borderId="1" xfId="0" applyFont="1" applyBorder="1" applyAlignment="1" applyProtection="1">
      <alignment horizontal="left" vertical="center" wrapText="1"/>
    </xf>
    <xf numFmtId="0" fontId="11" fillId="0" borderId="2" xfId="0" applyFont="1" applyBorder="1" applyAlignment="1" applyProtection="1">
      <alignment horizontal="left" vertical="top" wrapText="1"/>
      <protection locked="0"/>
    </xf>
    <xf numFmtId="0" fontId="29" fillId="2" borderId="2" xfId="0" applyFont="1" applyFill="1" applyBorder="1" applyAlignment="1" applyProtection="1">
      <alignment horizontal="center" vertical="center"/>
    </xf>
    <xf numFmtId="0" fontId="11" fillId="5" borderId="2" xfId="0" applyFont="1" applyFill="1" applyBorder="1" applyAlignment="1" applyProtection="1">
      <alignment horizontal="right" vertical="center"/>
    </xf>
    <xf numFmtId="0" fontId="11" fillId="0" borderId="0" xfId="0" applyFont="1" applyBorder="1" applyAlignment="1" applyProtection="1">
      <alignment horizontal="center"/>
    </xf>
    <xf numFmtId="0" fontId="30" fillId="0" borderId="0" xfId="1" applyFont="1" applyBorder="1" applyAlignment="1" applyProtection="1">
      <alignment horizontal="center" vertical="center"/>
    </xf>
  </cellXfs>
  <cellStyles count="2">
    <cellStyle name="Hyperkobling"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A6A6A6"/>
      <rgbColor rgb="FF993366"/>
      <rgbColor rgb="FFF6FFF5"/>
      <rgbColor rgb="FFE2F3F8"/>
      <rgbColor rgb="FF660066"/>
      <rgbColor rgb="FFFF8080"/>
      <rgbColor rgb="FF0563C1"/>
      <rgbColor rgb="FFD6D6D6"/>
      <rgbColor rgb="FF000080"/>
      <rgbColor rgb="FFFF00FF"/>
      <rgbColor rgb="FFFFFF00"/>
      <rgbColor rgb="FF00FFFF"/>
      <rgbColor rgb="FF800080"/>
      <rgbColor rgb="FF800000"/>
      <rgbColor rgb="FF008080"/>
      <rgbColor rgb="FF0000FF"/>
      <rgbColor rgb="FF00CCFF"/>
      <rgbColor rgb="FFF2F2F2"/>
      <rgbColor rgb="FFE2F0D9"/>
      <rgbColor rgb="FFF7F8F5"/>
      <rgbColor rgb="FFACDCEC"/>
      <rgbColor rgb="FFE7E7E7"/>
      <rgbColor rgb="FFB3B3B3"/>
      <rgbColor rgb="FFE1E1E1"/>
      <rgbColor rgb="FF3366FF"/>
      <rgbColor rgb="FF5B9BD5"/>
      <rgbColor rgb="FFA9D18E"/>
      <rgbColor rgb="FFFFC000"/>
      <rgbColor rgb="FFFF9900"/>
      <rgbColor rgb="FFFF6600"/>
      <rgbColor rgb="FF666699"/>
      <rgbColor rgb="FF929292"/>
      <rgbColor rgb="FF003366"/>
      <rgbColor rgb="FF70AD47"/>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uio.no/tjenester/trykk/" TargetMode="External"/><Relationship Id="rId1" Type="http://schemas.openxmlformats.org/officeDocument/2006/relationships/hyperlink" Target="mailto:ievarau@uio.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5"/>
  <sheetViews>
    <sheetView tabSelected="1" zoomScale="90" zoomScaleNormal="90" workbookViewId="0">
      <selection activeCell="M15" sqref="M15"/>
    </sheetView>
  </sheetViews>
  <sheetFormatPr baseColWidth="10" defaultColWidth="10.875" defaultRowHeight="12.75" x14ac:dyDescent="0.2"/>
  <cols>
    <col min="1" max="1" width="20.625" style="15" customWidth="1"/>
    <col min="2" max="2" width="4.125" style="15" customWidth="1"/>
    <col min="3" max="3" width="9.625" style="15" customWidth="1"/>
    <col min="4" max="4" width="27.375" style="15" customWidth="1"/>
    <col min="5" max="5" width="14.625" style="15" customWidth="1"/>
    <col min="6" max="6" width="8" style="15" customWidth="1"/>
    <col min="7" max="7" width="53.5" style="15" customWidth="1"/>
    <col min="8" max="16384" width="10.875" style="15"/>
  </cols>
  <sheetData>
    <row r="1" spans="1:7" ht="51" customHeight="1" x14ac:dyDescent="0.5">
      <c r="A1" s="14" t="s">
        <v>0</v>
      </c>
      <c r="B1" s="14"/>
      <c r="C1" s="14"/>
      <c r="D1" s="14"/>
      <c r="E1" s="14"/>
      <c r="F1" s="14"/>
      <c r="G1" s="14"/>
    </row>
    <row r="2" spans="1:7" ht="18.75" customHeight="1" x14ac:dyDescent="0.2">
      <c r="A2" s="13" t="s">
        <v>1</v>
      </c>
      <c r="B2" s="13"/>
      <c r="C2" s="13"/>
      <c r="D2" s="13"/>
      <c r="E2" s="13"/>
      <c r="F2" s="13"/>
      <c r="G2" s="13"/>
    </row>
    <row r="3" spans="1:7" ht="18.75" customHeight="1" x14ac:dyDescent="0.25">
      <c r="A3" s="12" t="s">
        <v>2</v>
      </c>
      <c r="B3" s="12"/>
      <c r="C3" s="12"/>
      <c r="D3" s="16" t="s">
        <v>3</v>
      </c>
      <c r="E3" s="11" t="s">
        <v>4</v>
      </c>
      <c r="F3" s="11"/>
      <c r="G3" s="11"/>
    </row>
    <row r="4" spans="1:7" ht="18.75" customHeight="1" x14ac:dyDescent="0.25">
      <c r="A4" s="12"/>
      <c r="B4" s="12"/>
      <c r="C4" s="12"/>
      <c r="D4" s="16" t="s">
        <v>5</v>
      </c>
      <c r="E4" s="11" t="s">
        <v>6</v>
      </c>
      <c r="F4" s="11"/>
      <c r="G4" s="11"/>
    </row>
    <row r="5" spans="1:7" ht="18.75" customHeight="1" x14ac:dyDescent="0.25">
      <c r="A5" s="12"/>
      <c r="B5" s="12"/>
      <c r="C5" s="12"/>
      <c r="D5" s="16" t="s">
        <v>7</v>
      </c>
      <c r="E5" s="17" t="s">
        <v>8</v>
      </c>
      <c r="F5" s="18"/>
      <c r="G5" s="19"/>
    </row>
    <row r="6" spans="1:7" ht="18.75" customHeight="1" x14ac:dyDescent="0.25">
      <c r="A6" s="12"/>
      <c r="B6" s="12"/>
      <c r="C6" s="12"/>
      <c r="D6" s="16" t="s">
        <v>9</v>
      </c>
      <c r="E6" s="17" t="s">
        <v>10</v>
      </c>
      <c r="F6" s="18"/>
      <c r="G6" s="19"/>
    </row>
    <row r="7" spans="1:7" ht="21.75" customHeight="1" x14ac:dyDescent="0.25">
      <c r="A7" s="12"/>
      <c r="B7" s="12"/>
      <c r="C7" s="12"/>
      <c r="D7" s="16" t="s">
        <v>11</v>
      </c>
      <c r="E7" s="11">
        <v>96707578</v>
      </c>
      <c r="F7" s="11"/>
      <c r="G7" s="11"/>
    </row>
    <row r="8" spans="1:7" ht="21.75" customHeight="1" x14ac:dyDescent="0.2">
      <c r="A8" s="10" t="s">
        <v>12</v>
      </c>
      <c r="B8" s="10"/>
      <c r="C8" s="10"/>
      <c r="D8" s="9">
        <v>45514</v>
      </c>
      <c r="E8" s="9"/>
      <c r="F8" s="9"/>
      <c r="G8" s="9"/>
    </row>
    <row r="9" spans="1:7" ht="21.75" customHeight="1" x14ac:dyDescent="0.2">
      <c r="A9" s="8" t="s">
        <v>13</v>
      </c>
      <c r="B9" s="8"/>
      <c r="C9" s="8"/>
      <c r="D9" s="7" t="s">
        <v>14</v>
      </c>
      <c r="E9" s="7"/>
      <c r="F9" s="7"/>
      <c r="G9" s="7"/>
    </row>
    <row r="10" spans="1:7" ht="21.75" customHeight="1" x14ac:dyDescent="0.2">
      <c r="A10" s="10" t="s">
        <v>15</v>
      </c>
      <c r="B10" s="10"/>
      <c r="C10" s="10"/>
      <c r="D10" s="11"/>
      <c r="E10" s="11"/>
      <c r="F10" s="11"/>
      <c r="G10" s="11"/>
    </row>
    <row r="11" spans="1:7" ht="21.75" customHeight="1" x14ac:dyDescent="0.2">
      <c r="A11" s="6" t="s">
        <v>16</v>
      </c>
      <c r="B11" s="6"/>
      <c r="C11" s="6"/>
      <c r="D11" s="5" t="s">
        <v>17</v>
      </c>
      <c r="E11" s="5"/>
      <c r="F11" s="5"/>
      <c r="G11" s="5"/>
    </row>
    <row r="12" spans="1:7" ht="21.75" customHeight="1" x14ac:dyDescent="0.2">
      <c r="A12" s="4" t="s">
        <v>18</v>
      </c>
      <c r="B12" s="4"/>
      <c r="C12" s="4"/>
      <c r="D12" s="20">
        <v>203</v>
      </c>
      <c r="E12" s="3" t="s">
        <v>19</v>
      </c>
      <c r="F12" s="3"/>
      <c r="G12" s="3"/>
    </row>
    <row r="13" spans="1:7" ht="21.75" customHeight="1" x14ac:dyDescent="0.25">
      <c r="A13" s="2" t="s">
        <v>20</v>
      </c>
      <c r="B13" s="2"/>
      <c r="C13" s="2"/>
      <c r="D13" s="21"/>
      <c r="E13" s="1" t="s">
        <v>21</v>
      </c>
      <c r="F13" s="1"/>
      <c r="G13" s="1"/>
    </row>
    <row r="14" spans="1:7" ht="18.75" customHeight="1" x14ac:dyDescent="0.2">
      <c r="A14" s="13" t="s">
        <v>22</v>
      </c>
      <c r="B14" s="13"/>
      <c r="C14" s="13"/>
      <c r="D14" s="13"/>
      <c r="E14" s="13"/>
      <c r="F14" s="13"/>
      <c r="G14" s="13"/>
    </row>
    <row r="15" spans="1:7" ht="18.75" customHeight="1" x14ac:dyDescent="0.2">
      <c r="A15" s="101" t="s">
        <v>23</v>
      </c>
      <c r="B15" s="101"/>
      <c r="C15" s="101"/>
      <c r="D15" s="22" t="s">
        <v>24</v>
      </c>
      <c r="E15" s="23">
        <f>IF(D15="YES",250,0)</f>
        <v>250</v>
      </c>
      <c r="F15" s="102" t="s">
        <v>25</v>
      </c>
      <c r="G15" s="102"/>
    </row>
    <row r="16" spans="1:7" ht="18.75" customHeight="1" x14ac:dyDescent="0.2">
      <c r="A16" s="24" t="s">
        <v>26</v>
      </c>
      <c r="B16" s="25"/>
      <c r="C16" s="26"/>
      <c r="D16" s="27" t="s">
        <v>27</v>
      </c>
      <c r="E16" s="28">
        <f>IF(D16="YES",250,0)</f>
        <v>0</v>
      </c>
      <c r="F16" s="103" t="s">
        <v>28</v>
      </c>
      <c r="G16" s="103"/>
    </row>
    <row r="17" spans="1:7" ht="18.75" customHeight="1" x14ac:dyDescent="0.2">
      <c r="A17" s="104" t="s">
        <v>29</v>
      </c>
      <c r="B17" s="104"/>
      <c r="C17" s="104"/>
      <c r="D17" s="104"/>
      <c r="E17" s="29"/>
      <c r="F17" s="30"/>
      <c r="G17" s="31"/>
    </row>
    <row r="18" spans="1:7" ht="18.75" customHeight="1" x14ac:dyDescent="0.2">
      <c r="A18" s="104"/>
      <c r="B18" s="104"/>
      <c r="C18" s="104"/>
      <c r="D18" s="104"/>
      <c r="E18" s="32" t="s">
        <v>30</v>
      </c>
      <c r="F18" s="33"/>
      <c r="G18" s="34"/>
    </row>
    <row r="19" spans="1:7" ht="18.75" customHeight="1" x14ac:dyDescent="0.25">
      <c r="A19" s="35" t="s">
        <v>31</v>
      </c>
      <c r="B19" s="36">
        <v>30</v>
      </c>
      <c r="C19" s="37" t="s">
        <v>32</v>
      </c>
      <c r="D19" s="38"/>
      <c r="E19" s="39">
        <f>SUM((0.45*(D12*B19)+2200)+E15+E16)</f>
        <v>5190.5</v>
      </c>
      <c r="F19" s="40" t="s">
        <v>33</v>
      </c>
      <c r="G19" s="41">
        <v>15550000</v>
      </c>
    </row>
    <row r="20" spans="1:7" ht="18.75" customHeight="1" x14ac:dyDescent="0.2">
      <c r="A20" s="42" t="s">
        <v>34</v>
      </c>
      <c r="B20" s="43"/>
      <c r="C20" s="44">
        <v>3</v>
      </c>
      <c r="D20" s="45" t="s">
        <v>35</v>
      </c>
      <c r="E20" s="46"/>
      <c r="F20" s="40" t="s">
        <v>36</v>
      </c>
      <c r="G20" s="41">
        <v>102420143</v>
      </c>
    </row>
    <row r="21" spans="1:7" ht="18.75" customHeight="1" x14ac:dyDescent="0.2">
      <c r="A21" s="42" t="s">
        <v>37</v>
      </c>
      <c r="B21" s="47"/>
      <c r="C21" s="48">
        <v>1</v>
      </c>
      <c r="D21" s="49" t="s">
        <v>38</v>
      </c>
      <c r="E21" s="50"/>
      <c r="F21" s="46" t="s">
        <v>39</v>
      </c>
      <c r="G21" s="51"/>
    </row>
    <row r="22" spans="1:7" ht="18.75" customHeight="1" x14ac:dyDescent="0.2">
      <c r="A22" s="42" t="s">
        <v>40</v>
      </c>
      <c r="B22" s="47"/>
      <c r="C22" s="48"/>
      <c r="D22" s="45" t="s">
        <v>41</v>
      </c>
      <c r="E22" s="52"/>
      <c r="F22" s="105" t="s">
        <v>42</v>
      </c>
      <c r="G22" s="105"/>
    </row>
    <row r="23" spans="1:7" ht="18.75" customHeight="1" x14ac:dyDescent="0.2">
      <c r="A23" s="42"/>
      <c r="B23" s="47"/>
      <c r="C23" s="48"/>
      <c r="D23" s="53"/>
      <c r="E23" s="52"/>
      <c r="F23" s="106" t="s">
        <v>43</v>
      </c>
      <c r="G23" s="106"/>
    </row>
    <row r="24" spans="1:7" ht="18.75" customHeight="1" x14ac:dyDescent="0.2">
      <c r="A24" s="54" t="s">
        <v>44</v>
      </c>
      <c r="B24" s="55"/>
      <c r="C24" s="56">
        <f>SUM(B19-C20-C21-C22)</f>
        <v>26</v>
      </c>
      <c r="D24" s="57"/>
      <c r="E24" s="52"/>
      <c r="F24" s="106" t="s">
        <v>45</v>
      </c>
      <c r="G24" s="106"/>
    </row>
    <row r="25" spans="1:7" ht="18.75" customHeight="1" x14ac:dyDescent="0.25">
      <c r="A25" s="58" t="s">
        <v>46</v>
      </c>
      <c r="B25" s="59"/>
      <c r="C25" s="60"/>
      <c r="D25" s="61"/>
      <c r="E25" s="62">
        <f>SUM(E21:E24)</f>
        <v>0</v>
      </c>
      <c r="F25" s="63" t="s">
        <v>47</v>
      </c>
      <c r="G25" s="51"/>
    </row>
    <row r="26" spans="1:7" ht="18.75" customHeight="1" x14ac:dyDescent="0.2">
      <c r="A26" s="64" t="s">
        <v>48</v>
      </c>
      <c r="B26" s="107" t="s">
        <v>75</v>
      </c>
      <c r="C26" s="107"/>
      <c r="D26" s="107"/>
      <c r="E26" s="46"/>
      <c r="F26" s="65"/>
      <c r="G26" s="51"/>
    </row>
    <row r="27" spans="1:7" ht="18.75" customHeight="1" x14ac:dyDescent="0.2">
      <c r="A27" s="66" t="s">
        <v>49</v>
      </c>
      <c r="B27" s="108">
        <v>1066</v>
      </c>
      <c r="C27" s="108"/>
      <c r="D27" s="108"/>
      <c r="E27" s="46"/>
      <c r="F27" s="65"/>
      <c r="G27" s="51"/>
    </row>
    <row r="28" spans="1:7" ht="18.75" customHeight="1" x14ac:dyDescent="0.2">
      <c r="A28" s="67" t="s">
        <v>50</v>
      </c>
      <c r="B28" s="108" t="s">
        <v>76</v>
      </c>
      <c r="C28" s="108"/>
      <c r="D28" s="108"/>
      <c r="E28" s="68"/>
      <c r="F28" s="69"/>
      <c r="G28" s="70"/>
    </row>
    <row r="29" spans="1:7" ht="18.75" customHeight="1" x14ac:dyDescent="0.25">
      <c r="A29" s="35" t="s">
        <v>51</v>
      </c>
      <c r="B29" s="71"/>
      <c r="C29" s="72" t="s">
        <v>32</v>
      </c>
      <c r="D29" s="73"/>
      <c r="E29" s="74">
        <f>SUM(0.4*(D12*B29))</f>
        <v>0</v>
      </c>
      <c r="F29" s="40" t="s">
        <v>33</v>
      </c>
      <c r="G29" s="41"/>
    </row>
    <row r="30" spans="1:7" ht="18.75" customHeight="1" x14ac:dyDescent="0.25">
      <c r="A30" s="75" t="s">
        <v>52</v>
      </c>
      <c r="B30" s="59"/>
      <c r="C30" s="60"/>
      <c r="D30" s="61"/>
      <c r="E30" s="46"/>
      <c r="F30" s="40" t="s">
        <v>36</v>
      </c>
      <c r="G30" s="41"/>
    </row>
    <row r="31" spans="1:7" ht="18.75" customHeight="1" x14ac:dyDescent="0.2">
      <c r="A31" s="64" t="s">
        <v>53</v>
      </c>
      <c r="B31" s="109"/>
      <c r="C31" s="109"/>
      <c r="D31" s="109"/>
      <c r="E31" s="65"/>
      <c r="F31" s="76"/>
      <c r="G31" s="51"/>
    </row>
    <row r="32" spans="1:7" ht="18.75" customHeight="1" x14ac:dyDescent="0.2">
      <c r="A32" s="66" t="s">
        <v>54</v>
      </c>
      <c r="B32" s="109"/>
      <c r="C32" s="109"/>
      <c r="D32" s="109"/>
      <c r="E32" s="65"/>
      <c r="F32" s="65"/>
      <c r="G32" s="51"/>
    </row>
    <row r="33" spans="1:7" ht="18.75" customHeight="1" x14ac:dyDescent="0.2">
      <c r="A33" s="67" t="s">
        <v>50</v>
      </c>
      <c r="B33" s="108"/>
      <c r="C33" s="108"/>
      <c r="D33" s="108"/>
      <c r="E33" s="65"/>
      <c r="F33" s="65"/>
      <c r="G33" s="51"/>
    </row>
    <row r="34" spans="1:7" ht="18.75" customHeight="1" x14ac:dyDescent="0.25">
      <c r="A34" s="77" t="s">
        <v>55</v>
      </c>
      <c r="B34" s="78">
        <v>0</v>
      </c>
      <c r="C34" s="79" t="s">
        <v>32</v>
      </c>
      <c r="D34" s="80"/>
      <c r="E34" s="81">
        <f>SUM(0.4*(D12*B34))</f>
        <v>0</v>
      </c>
      <c r="F34" s="82" t="s">
        <v>56</v>
      </c>
      <c r="G34" s="83"/>
    </row>
    <row r="35" spans="1:7" ht="18.75" customHeight="1" x14ac:dyDescent="0.2">
      <c r="A35" s="84" t="s">
        <v>57</v>
      </c>
      <c r="B35" s="85"/>
      <c r="C35" s="86"/>
      <c r="D35" s="87"/>
      <c r="E35" s="88" t="s">
        <v>58</v>
      </c>
      <c r="F35" s="89"/>
      <c r="G35" s="90"/>
    </row>
    <row r="36" spans="1:7" ht="18.75" customHeight="1" x14ac:dyDescent="0.2">
      <c r="A36" s="91" t="s">
        <v>59</v>
      </c>
      <c r="B36" s="110"/>
      <c r="C36" s="110"/>
      <c r="D36" s="110"/>
      <c r="E36" s="92" t="s">
        <v>60</v>
      </c>
      <c r="F36" s="111"/>
      <c r="G36" s="111"/>
    </row>
    <row r="37" spans="1:7" ht="18.75" customHeight="1" x14ac:dyDescent="0.2">
      <c r="A37" s="93" t="s">
        <v>61</v>
      </c>
      <c r="B37" s="110"/>
      <c r="C37" s="110"/>
      <c r="D37" s="110"/>
      <c r="E37" s="94" t="s">
        <v>62</v>
      </c>
      <c r="F37" s="111"/>
      <c r="G37" s="111"/>
    </row>
    <row r="38" spans="1:7" ht="18.75" customHeight="1" x14ac:dyDescent="0.2">
      <c r="A38" s="93" t="s">
        <v>63</v>
      </c>
      <c r="B38" s="110"/>
      <c r="C38" s="110"/>
      <c r="D38" s="110"/>
      <c r="E38" s="93" t="s">
        <v>50</v>
      </c>
      <c r="F38" s="111"/>
      <c r="G38" s="111"/>
    </row>
    <row r="39" spans="1:7" ht="18.75" customHeight="1" x14ac:dyDescent="0.2">
      <c r="A39" s="93" t="s">
        <v>64</v>
      </c>
      <c r="B39" s="110"/>
      <c r="C39" s="110"/>
      <c r="D39" s="110"/>
      <c r="E39" s="93" t="s">
        <v>65</v>
      </c>
      <c r="F39" s="111"/>
      <c r="G39" s="111"/>
    </row>
    <row r="40" spans="1:7" ht="18.75" customHeight="1" x14ac:dyDescent="0.2">
      <c r="A40" s="95" t="s">
        <v>11</v>
      </c>
      <c r="B40" s="110"/>
      <c r="C40" s="110"/>
      <c r="D40" s="110"/>
      <c r="E40" s="93" t="s">
        <v>63</v>
      </c>
      <c r="F40" s="112"/>
      <c r="G40" s="112"/>
    </row>
    <row r="41" spans="1:7" ht="25.5" customHeight="1" x14ac:dyDescent="0.25">
      <c r="A41" s="96" t="s">
        <v>66</v>
      </c>
      <c r="B41" s="97">
        <f>SUM(B19+B29+B34)</f>
        <v>30</v>
      </c>
      <c r="C41" s="98" t="s">
        <v>32</v>
      </c>
      <c r="D41" s="98"/>
      <c r="E41" s="99">
        <f>SUM(E19+E25+E29+E34)</f>
        <v>5190.5</v>
      </c>
      <c r="F41" s="98" t="s">
        <v>67</v>
      </c>
      <c r="G41" s="100"/>
    </row>
    <row r="42" spans="1:7" ht="21.75" customHeight="1" x14ac:dyDescent="0.2">
      <c r="A42" s="113" t="s">
        <v>68</v>
      </c>
      <c r="B42" s="113"/>
      <c r="C42" s="113"/>
      <c r="D42" s="113"/>
      <c r="E42" s="113"/>
      <c r="F42" s="113"/>
      <c r="G42" s="113"/>
    </row>
    <row r="43" spans="1:7" ht="18" customHeight="1" x14ac:dyDescent="0.2">
      <c r="A43" s="13" t="s">
        <v>69</v>
      </c>
      <c r="B43" s="13"/>
      <c r="C43" s="13"/>
      <c r="D43" s="13"/>
      <c r="E43" s="13"/>
      <c r="F43" s="13"/>
      <c r="G43" s="13"/>
    </row>
    <row r="44" spans="1:7" ht="18" customHeight="1" x14ac:dyDescent="0.2">
      <c r="A44" s="114"/>
      <c r="B44" s="114"/>
      <c r="C44" s="114"/>
      <c r="D44" s="114"/>
      <c r="E44" s="114"/>
      <c r="F44" s="114"/>
      <c r="G44" s="114"/>
    </row>
    <row r="45" spans="1:7" ht="18" customHeight="1" x14ac:dyDescent="0.2">
      <c r="A45" s="114"/>
      <c r="B45" s="114"/>
      <c r="C45" s="114"/>
      <c r="D45" s="114"/>
      <c r="E45" s="114"/>
      <c r="F45" s="114"/>
      <c r="G45" s="114"/>
    </row>
    <row r="46" spans="1:7" ht="18" customHeight="1" x14ac:dyDescent="0.2">
      <c r="A46" s="114"/>
      <c r="B46" s="114"/>
      <c r="C46" s="114"/>
      <c r="D46" s="114"/>
      <c r="E46" s="114"/>
      <c r="F46" s="114"/>
      <c r="G46" s="114"/>
    </row>
    <row r="47" spans="1:7" ht="18" customHeight="1" x14ac:dyDescent="0.2">
      <c r="A47" s="114"/>
      <c r="B47" s="114"/>
      <c r="C47" s="114"/>
      <c r="D47" s="114"/>
      <c r="E47" s="114"/>
      <c r="F47" s="114"/>
      <c r="G47" s="114"/>
    </row>
    <row r="48" spans="1:7" ht="18" customHeight="1" x14ac:dyDescent="0.2">
      <c r="A48" s="114"/>
      <c r="B48" s="114"/>
      <c r="C48" s="114"/>
      <c r="D48" s="114"/>
      <c r="E48" s="114"/>
      <c r="F48" s="114"/>
      <c r="G48" s="114"/>
    </row>
    <row r="49" spans="1:7" ht="18" customHeight="1" x14ac:dyDescent="0.2">
      <c r="A49" s="114"/>
      <c r="B49" s="114"/>
      <c r="C49" s="114"/>
      <c r="D49" s="114"/>
      <c r="E49" s="114"/>
      <c r="F49" s="114"/>
      <c r="G49" s="114"/>
    </row>
    <row r="50" spans="1:7" ht="18" customHeight="1" x14ac:dyDescent="0.2">
      <c r="A50" s="114"/>
      <c r="B50" s="114"/>
      <c r="C50" s="114"/>
      <c r="D50" s="114"/>
      <c r="E50" s="114"/>
      <c r="F50" s="114"/>
      <c r="G50" s="114"/>
    </row>
    <row r="51" spans="1:7" ht="39" customHeight="1" x14ac:dyDescent="0.2">
      <c r="A51" s="114"/>
      <c r="B51" s="114"/>
      <c r="C51" s="114"/>
      <c r="D51" s="114"/>
      <c r="E51" s="114"/>
      <c r="F51" s="114"/>
      <c r="G51" s="114"/>
    </row>
    <row r="52" spans="1:7" ht="18" customHeight="1" x14ac:dyDescent="0.2">
      <c r="A52" s="115" t="s">
        <v>70</v>
      </c>
      <c r="B52" s="115"/>
      <c r="C52" s="115"/>
      <c r="D52" s="115"/>
      <c r="E52" s="115"/>
      <c r="F52" s="115"/>
      <c r="G52" s="115"/>
    </row>
    <row r="53" spans="1:7" ht="30.75" customHeight="1" x14ac:dyDescent="0.2">
      <c r="A53" s="116" t="s">
        <v>71</v>
      </c>
      <c r="B53" s="116"/>
      <c r="C53" s="116"/>
      <c r="D53" s="116"/>
      <c r="E53" s="107" t="s">
        <v>74</v>
      </c>
      <c r="F53" s="107"/>
      <c r="G53" s="107"/>
    </row>
    <row r="54" spans="1:7" ht="54.75" customHeight="1" x14ac:dyDescent="0.2">
      <c r="A54" s="117" t="s">
        <v>72</v>
      </c>
      <c r="B54" s="117"/>
      <c r="C54" s="117"/>
      <c r="D54" s="117"/>
      <c r="E54" s="117"/>
      <c r="F54" s="117"/>
      <c r="G54" s="117"/>
    </row>
    <row r="55" spans="1:7" ht="24" customHeight="1" x14ac:dyDescent="0.2">
      <c r="A55" s="118" t="s">
        <v>73</v>
      </c>
      <c r="B55" s="118"/>
      <c r="C55" s="118"/>
      <c r="D55" s="118"/>
      <c r="E55" s="118"/>
      <c r="F55" s="118"/>
      <c r="G55" s="118"/>
    </row>
  </sheetData>
  <sheetProtection algorithmName="SHA-512" hashValue="30RUrJVH3w7wNfTNn7CzLo1Uxmshvxnpo2zydngqN+MM4cxW9RIAaICAqscQ5L85AdNHaQOwONcLsBJ/rrjC8w==" saltValue="7SIsfV04NjdSGjZosL8qrw==" spinCount="100000" sheet="1" objects="1" scenarios="1"/>
  <mergeCells count="50">
    <mergeCell ref="A54:G54"/>
    <mergeCell ref="A55:G55"/>
    <mergeCell ref="A43:G43"/>
    <mergeCell ref="A44:G51"/>
    <mergeCell ref="A52:G52"/>
    <mergeCell ref="A53:D53"/>
    <mergeCell ref="E53:G53"/>
    <mergeCell ref="B39:D39"/>
    <mergeCell ref="F39:G39"/>
    <mergeCell ref="B40:D40"/>
    <mergeCell ref="F40:G40"/>
    <mergeCell ref="A42:G42"/>
    <mergeCell ref="F36:G36"/>
    <mergeCell ref="B37:D37"/>
    <mergeCell ref="F37:G37"/>
    <mergeCell ref="B38:D38"/>
    <mergeCell ref="F38:G38"/>
    <mergeCell ref="B28:D28"/>
    <mergeCell ref="B31:D31"/>
    <mergeCell ref="B32:D32"/>
    <mergeCell ref="B33:D33"/>
    <mergeCell ref="B36:D36"/>
    <mergeCell ref="F22:G22"/>
    <mergeCell ref="F23:G23"/>
    <mergeCell ref="F24:G24"/>
    <mergeCell ref="B26:D26"/>
    <mergeCell ref="B27:D27"/>
    <mergeCell ref="A14:G14"/>
    <mergeCell ref="A15:C15"/>
    <mergeCell ref="F15:G15"/>
    <mergeCell ref="F16:G16"/>
    <mergeCell ref="A17:D18"/>
    <mergeCell ref="A11:C11"/>
    <mergeCell ref="D11:G11"/>
    <mergeCell ref="A12:C12"/>
    <mergeCell ref="E12:G12"/>
    <mergeCell ref="A13:C13"/>
    <mergeCell ref="E13:G13"/>
    <mergeCell ref="A8:C8"/>
    <mergeCell ref="D8:G8"/>
    <mergeCell ref="A9:C9"/>
    <mergeCell ref="D9:G9"/>
    <mergeCell ref="A10:C10"/>
    <mergeCell ref="D10:G10"/>
    <mergeCell ref="A1:G1"/>
    <mergeCell ref="A2:G2"/>
    <mergeCell ref="A3:C7"/>
    <mergeCell ref="E3:G3"/>
    <mergeCell ref="E4:G4"/>
    <mergeCell ref="E7:G7"/>
  </mergeCells>
  <dataValidations count="1">
    <dataValidation type="list" allowBlank="1" showInputMessage="1" showErrorMessage="1" sqref="D15:D16">
      <formula1>"YES,NO"</formula1>
      <formula2>0</formula2>
    </dataValidation>
  </dataValidations>
  <hyperlinks>
    <hyperlink ref="E4" r:id="rId1"/>
    <hyperlink ref="A55" r:id="rId2"/>
  </hyperlinks>
  <pageMargins left="0.51180555555555596" right="0.51180555555555596" top="0.74791666666666701" bottom="0.74861111111111101" header="0.31527777777777799" footer="0.31527777777777799"/>
  <pageSetup paperSize="9" orientation="portrait" horizontalDpi="300" verticalDpi="300"/>
  <headerFooter>
    <oddHeader>&amp;L&amp;"Times New Roman Bold,Regular"&amp;14UNIVERSITY OF OSLO&amp;C&amp;"Arial,Regular"&amp;10ORDERFORM, 
PRINT OF ph.d. THESIS&amp;R&amp;"Arial,Regular"&amp;16Graphic center</oddHeader>
    <oddFooter>&amp;L&amp;"Times New Roman,Regular"&amp;8Versjon, May 2024</oddFooter>
  </headerFooter>
</worksheet>
</file>

<file path=docProps/app.xml><?xml version="1.0" encoding="utf-8"?>
<Properties xmlns="http://schemas.openxmlformats.org/officeDocument/2006/extended-properties" xmlns:vt="http://schemas.openxmlformats.org/officeDocument/2006/docPropsVTypes">
  <Template/>
  <TotalTime>19</TotalTime>
  <Application>Microsoft Excel</Application>
  <DocSecurity>0</DocSecurity>
  <ScaleCrop>false</ScaleCrop>
  <HeadingPairs>
    <vt:vector size="2" baseType="variant">
      <vt:variant>
        <vt:lpstr>Regneark</vt:lpstr>
      </vt:variant>
      <vt:variant>
        <vt:i4>1</vt:i4>
      </vt:variant>
    </vt:vector>
  </HeadingPairs>
  <TitlesOfParts>
    <vt:vector size="1" baseType="lpstr">
      <vt:lpstr>PhD Rekvisisjon, 45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nina.baardseth@admin.uio.no</dc:creator>
  <dc:description/>
  <cp:lastModifiedBy>Joakim Erma Møller</cp:lastModifiedBy>
  <cp:revision>4</cp:revision>
  <cp:lastPrinted>2022-03-22T12:01:56Z</cp:lastPrinted>
  <dcterms:created xsi:type="dcterms:W3CDTF">2020-07-20T07:05:17Z</dcterms:created>
  <dcterms:modified xsi:type="dcterms:W3CDTF">2024-09-09T08:06:58Z</dcterms:modified>
  <dc:language>en-US</dc:language>
</cp:coreProperties>
</file>